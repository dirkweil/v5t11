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opt\prj\gedoplan\v5t11\docs\03 Gleisplan\Anlage_sbw\"/>
    </mc:Choice>
  </mc:AlternateContent>
  <xr:revisionPtr revIDLastSave="0" documentId="13_ncr:1_{70F52A96-5F7E-4DE5-8A37-E0A3F58D4416}" xr6:coauthVersionLast="47" xr6:coauthVersionMax="47" xr10:uidLastSave="{00000000-0000-0000-0000-000000000000}"/>
  <bookViews>
    <workbookView xWindow="-28920" yWindow="-120" windowWidth="29040" windowHeight="15720" xr2:uid="{DF57CEAD-4573-4582-933C-FB3C9986177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4" i="1"/>
  <c r="I14" i="1"/>
  <c r="I13" i="1" s="1"/>
  <c r="I12" i="1" s="1"/>
  <c r="I11" i="1" s="1"/>
  <c r="I10" i="1" s="1"/>
  <c r="I7" i="1"/>
  <c r="I8" i="1"/>
  <c r="I6" i="1"/>
  <c r="C35" i="1"/>
  <c r="C37" i="1" s="1"/>
  <c r="B35" i="1"/>
  <c r="B37" i="1" s="1"/>
  <c r="C21" i="1"/>
  <c r="B21" i="1"/>
  <c r="D21" i="1" s="1"/>
  <c r="C15" i="1"/>
  <c r="C17" i="1" s="1"/>
  <c r="B15" i="1"/>
  <c r="B17" i="1" s="1"/>
  <c r="D37" i="1" l="1"/>
  <c r="D17" i="1"/>
  <c r="I9" i="1" s="1"/>
  <c r="I5" i="1" s="1"/>
</calcChain>
</file>

<file path=xl/sharedStrings.xml><?xml version="1.0" encoding="utf-8"?>
<sst xmlns="http://schemas.openxmlformats.org/spreadsheetml/2006/main" count="21" uniqueCount="21">
  <si>
    <t>Fahrstrecken, Steigungen, Ebenenabstände</t>
  </si>
  <si>
    <t>Wendel</t>
  </si>
  <si>
    <t>Höhendiff.</t>
  </si>
  <si>
    <t>Normal</t>
  </si>
  <si>
    <t>NBf zu HBf</t>
  </si>
  <si>
    <t>SBf zu NBf</t>
  </si>
  <si>
    <t>SBf zu HBf</t>
  </si>
  <si>
    <t>Ebene</t>
  </si>
  <si>
    <t>Höhe</t>
  </si>
  <si>
    <t>Hochebene</t>
  </si>
  <si>
    <t>Obere Zwischenebene</t>
  </si>
  <si>
    <t>HBf</t>
  </si>
  <si>
    <t>Mittlere Zwischenebene</t>
  </si>
  <si>
    <t>NBf</t>
  </si>
  <si>
    <t>Untere Rampe 1</t>
  </si>
  <si>
    <t>Untere Rampe 2</t>
  </si>
  <si>
    <t>Untere Rampe 3</t>
  </si>
  <si>
    <t>Untere Rampe 4</t>
  </si>
  <si>
    <t>Untere Rampe 5</t>
  </si>
  <si>
    <t>SBf</t>
  </si>
  <si>
    <t>Brüstung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</si>
</sst>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\ &quot;mm&quot;"/>
    <numFmt numFmtId="167" formatCode="#,##0\ &quot;cm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10" fontId="0" fillId="0" borderId="1" xfId="0" applyNumberFormat="1" applyBorder="1"/>
    <xf numFmtId="16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8349-5F18-4F46-80ED-9BD496C5CA12}">
  <dimension ref="A1:J37"/>
  <sheetViews>
    <sheetView tabSelected="1" workbookViewId="0">
      <selection activeCell="J6" sqref="J6"/>
    </sheetView>
  </sheetViews>
  <sheetFormatPr baseColWidth="10" defaultRowHeight="15" x14ac:dyDescent="0.25"/>
  <cols>
    <col min="1" max="1" width="15.85546875" customWidth="1"/>
    <col min="8" max="8" width="23" bestFit="1" customWidth="1"/>
  </cols>
  <sheetData>
    <row r="1" spans="1:10" x14ac:dyDescent="0.25">
      <c r="A1" t="s">
        <v>0</v>
      </c>
    </row>
    <row r="3" spans="1:10" x14ac:dyDescent="0.25">
      <c r="B3" t="s">
        <v>3</v>
      </c>
      <c r="C3" t="s">
        <v>1</v>
      </c>
      <c r="D3" t="s">
        <v>2</v>
      </c>
      <c r="H3" t="s">
        <v>7</v>
      </c>
      <c r="I3" t="s">
        <v>8</v>
      </c>
    </row>
    <row r="4" spans="1:10" x14ac:dyDescent="0.25">
      <c r="A4" t="s">
        <v>5</v>
      </c>
      <c r="B4" s="1">
        <v>490.8</v>
      </c>
      <c r="C4" s="1"/>
      <c r="H4" t="s">
        <v>20</v>
      </c>
      <c r="I4" s="1">
        <v>1180</v>
      </c>
      <c r="J4" s="5">
        <f>I4/10</f>
        <v>118</v>
      </c>
    </row>
    <row r="5" spans="1:10" x14ac:dyDescent="0.25">
      <c r="B5" s="1">
        <v>475</v>
      </c>
      <c r="C5" s="1"/>
      <c r="H5" t="s">
        <v>9</v>
      </c>
      <c r="I5" s="1">
        <f>I7+30</f>
        <v>1099.8706400000001</v>
      </c>
      <c r="J5" s="5">
        <f t="shared" ref="J5:J15" si="0">I5/10</f>
        <v>109.987064</v>
      </c>
    </row>
    <row r="6" spans="1:10" x14ac:dyDescent="0.25">
      <c r="B6" s="1">
        <v>1073.8</v>
      </c>
      <c r="C6" s="1"/>
      <c r="H6" t="s">
        <v>10</v>
      </c>
      <c r="I6" s="1">
        <f>AVERAGE(I5,I7)</f>
        <v>1084.8706400000001</v>
      </c>
      <c r="J6" s="5">
        <f t="shared" si="0"/>
        <v>108.487064</v>
      </c>
    </row>
    <row r="7" spans="1:10" x14ac:dyDescent="0.25">
      <c r="B7" s="1"/>
      <c r="C7" s="1">
        <v>549.79999999999995</v>
      </c>
      <c r="H7" t="s">
        <v>11</v>
      </c>
      <c r="I7" s="1">
        <f>I9+D21</f>
        <v>1069.8706400000001</v>
      </c>
      <c r="J7" s="5">
        <f t="shared" si="0"/>
        <v>106.987064</v>
      </c>
    </row>
    <row r="8" spans="1:10" x14ac:dyDescent="0.25">
      <c r="B8" s="1"/>
      <c r="C8" s="1">
        <v>1099.5999999999999</v>
      </c>
      <c r="H8" t="s">
        <v>12</v>
      </c>
      <c r="I8" s="1">
        <f>AVERAGE(I7,I9)</f>
        <v>1045.1818900000001</v>
      </c>
      <c r="J8" s="5">
        <f t="shared" si="0"/>
        <v>104.51818900000001</v>
      </c>
    </row>
    <row r="9" spans="1:10" x14ac:dyDescent="0.25">
      <c r="B9" s="1"/>
      <c r="C9" s="1">
        <v>1099.5999999999999</v>
      </c>
      <c r="H9" t="s">
        <v>13</v>
      </c>
      <c r="I9" s="1">
        <f>I15+D17</f>
        <v>1020.49314</v>
      </c>
      <c r="J9" s="5">
        <f t="shared" si="0"/>
        <v>102.04931400000001</v>
      </c>
    </row>
    <row r="10" spans="1:10" x14ac:dyDescent="0.25">
      <c r="B10" s="1"/>
      <c r="C10" s="1">
        <v>1099.5999999999999</v>
      </c>
      <c r="H10" t="s">
        <v>14</v>
      </c>
      <c r="I10" s="1">
        <f>I11+(I$9-I$15)/6</f>
        <v>995.41094999999984</v>
      </c>
      <c r="J10" s="5">
        <f t="shared" si="0"/>
        <v>99.541094999999984</v>
      </c>
    </row>
    <row r="11" spans="1:10" x14ac:dyDescent="0.25">
      <c r="B11" s="1"/>
      <c r="C11" s="1">
        <v>1099.5999999999999</v>
      </c>
      <c r="H11" t="s">
        <v>15</v>
      </c>
      <c r="I11" s="1">
        <f t="shared" ref="I11:I14" si="1">I12+(I$9-I$15)/6</f>
        <v>970.32875999999987</v>
      </c>
      <c r="J11" s="5">
        <f t="shared" si="0"/>
        <v>97.032875999999987</v>
      </c>
    </row>
    <row r="12" spans="1:10" x14ac:dyDescent="0.25">
      <c r="B12" s="1"/>
      <c r="C12" s="1">
        <v>248.4</v>
      </c>
      <c r="H12" t="s">
        <v>16</v>
      </c>
      <c r="I12" s="1">
        <f t="shared" si="1"/>
        <v>945.24656999999991</v>
      </c>
      <c r="J12" s="5">
        <f t="shared" si="0"/>
        <v>94.524656999999991</v>
      </c>
    </row>
    <row r="13" spans="1:10" x14ac:dyDescent="0.25">
      <c r="B13" s="1"/>
      <c r="C13" s="1">
        <v>112.1</v>
      </c>
      <c r="H13" t="s">
        <v>17</v>
      </c>
      <c r="I13" s="1">
        <f t="shared" si="1"/>
        <v>920.16437999999994</v>
      </c>
      <c r="J13" s="5">
        <f t="shared" si="0"/>
        <v>92.016437999999994</v>
      </c>
    </row>
    <row r="14" spans="1:10" x14ac:dyDescent="0.25">
      <c r="B14" s="3">
        <v>522.20000000000005</v>
      </c>
      <c r="C14" s="3"/>
      <c r="D14" s="2"/>
      <c r="H14" t="s">
        <v>18</v>
      </c>
      <c r="I14" s="1">
        <f t="shared" si="1"/>
        <v>895.08218999999997</v>
      </c>
      <c r="J14" s="5">
        <f t="shared" si="0"/>
        <v>89.508218999999997</v>
      </c>
    </row>
    <row r="15" spans="1:10" x14ac:dyDescent="0.25">
      <c r="B15" s="1">
        <f>SUM(B4:B14)</f>
        <v>2561.8000000000002</v>
      </c>
      <c r="C15" s="1">
        <f>SUM(C4:C14)</f>
        <v>5308.7</v>
      </c>
      <c r="H15" t="s">
        <v>19</v>
      </c>
      <c r="I15" s="1">
        <v>870</v>
      </c>
      <c r="J15" s="5">
        <f t="shared" si="0"/>
        <v>87</v>
      </c>
    </row>
    <row r="16" spans="1:10" x14ac:dyDescent="0.25">
      <c r="B16" s="4">
        <v>1.7299999999999999E-2</v>
      </c>
      <c r="C16" s="4">
        <v>0.02</v>
      </c>
      <c r="D16" s="2"/>
    </row>
    <row r="17" spans="1:5" x14ac:dyDescent="0.25">
      <c r="B17" s="1">
        <f>B15*B16</f>
        <v>44.319140000000004</v>
      </c>
      <c r="C17" s="1">
        <f>C15*C16</f>
        <v>106.17399999999999</v>
      </c>
      <c r="D17" s="1">
        <f>SUM(B17:C17)</f>
        <v>150.49313999999998</v>
      </c>
      <c r="E17" s="1"/>
    </row>
    <row r="19" spans="1:5" x14ac:dyDescent="0.25">
      <c r="A19" t="s">
        <v>4</v>
      </c>
      <c r="B19" s="1">
        <v>1975.1</v>
      </c>
    </row>
    <row r="20" spans="1:5" x14ac:dyDescent="0.25">
      <c r="B20" s="4">
        <v>2.5000000000000001E-2</v>
      </c>
      <c r="C20" s="4">
        <v>0.02</v>
      </c>
      <c r="D20" s="2"/>
    </row>
    <row r="21" spans="1:5" x14ac:dyDescent="0.25">
      <c r="B21" s="1">
        <f>B19*B20</f>
        <v>49.377499999999998</v>
      </c>
      <c r="C21" s="1">
        <f>C19*C20</f>
        <v>0</v>
      </c>
      <c r="D21" s="1">
        <f>SUM(B21:C21)</f>
        <v>49.377499999999998</v>
      </c>
      <c r="E21" s="1"/>
    </row>
    <row r="23" spans="1:5" x14ac:dyDescent="0.25">
      <c r="A23" t="s">
        <v>6</v>
      </c>
      <c r="B23" s="1">
        <v>495.6</v>
      </c>
      <c r="C23" s="1"/>
    </row>
    <row r="24" spans="1:5" x14ac:dyDescent="0.25">
      <c r="B24" s="1"/>
      <c r="C24" s="1">
        <v>820.4</v>
      </c>
    </row>
    <row r="25" spans="1:5" x14ac:dyDescent="0.25">
      <c r="B25" s="1"/>
      <c r="C25" s="1">
        <v>1099.5999999999999</v>
      </c>
    </row>
    <row r="26" spans="1:5" x14ac:dyDescent="0.25">
      <c r="B26" s="1"/>
      <c r="C26" s="1">
        <v>1099.5999999999999</v>
      </c>
    </row>
    <row r="27" spans="1:5" x14ac:dyDescent="0.25">
      <c r="B27" s="1"/>
      <c r="C27" s="1">
        <v>1099.5999999999999</v>
      </c>
    </row>
    <row r="28" spans="1:5" x14ac:dyDescent="0.25">
      <c r="B28" s="1"/>
      <c r="C28" s="1">
        <v>1099.5999999999999</v>
      </c>
    </row>
    <row r="29" spans="1:5" x14ac:dyDescent="0.25">
      <c r="B29" s="1"/>
      <c r="C29" s="1">
        <v>1113.4000000000001</v>
      </c>
    </row>
    <row r="30" spans="1:5" x14ac:dyDescent="0.25">
      <c r="B30" s="1"/>
      <c r="C30" s="1">
        <v>1099.5999999999999</v>
      </c>
    </row>
    <row r="31" spans="1:5" x14ac:dyDescent="0.25">
      <c r="B31" s="1"/>
      <c r="C31" s="1">
        <v>549.79999999999995</v>
      </c>
    </row>
    <row r="32" spans="1:5" x14ac:dyDescent="0.25">
      <c r="B32" s="1"/>
      <c r="C32" s="1">
        <v>112.6</v>
      </c>
    </row>
    <row r="33" spans="2:5" x14ac:dyDescent="0.25">
      <c r="B33" s="1"/>
      <c r="C33" s="1">
        <v>549.79999999999995</v>
      </c>
    </row>
    <row r="34" spans="2:5" x14ac:dyDescent="0.25">
      <c r="B34" s="3"/>
      <c r="C34" s="3">
        <v>1100.8</v>
      </c>
      <c r="D34" s="2"/>
    </row>
    <row r="35" spans="2:5" x14ac:dyDescent="0.25">
      <c r="B35" s="1">
        <f>SUM(B23:B34)</f>
        <v>495.6</v>
      </c>
      <c r="C35" s="1">
        <f>SUM(C23:C34)</f>
        <v>9744.7999999999993</v>
      </c>
    </row>
    <row r="36" spans="2:5" x14ac:dyDescent="0.25">
      <c r="B36" s="4">
        <v>0.01</v>
      </c>
      <c r="C36" s="4">
        <v>0.02</v>
      </c>
      <c r="D36" s="2"/>
    </row>
    <row r="37" spans="2:5" x14ac:dyDescent="0.25">
      <c r="B37" s="1">
        <f>B35*B36</f>
        <v>4.9560000000000004</v>
      </c>
      <c r="C37" s="1">
        <f>C35*C36</f>
        <v>194.89599999999999</v>
      </c>
      <c r="D37" s="1">
        <f>SUM(B37:C37)</f>
        <v>199.85199999999998</v>
      </c>
      <c r="E37" s="1"/>
    </row>
  </sheetData>
  <pageMargins left="0.7" right="0.7" top="0.78740157499999996" bottom="0.78740157499999996" header="0.3" footer="0.3"/>
  <ignoredErrors>
    <ignoredError sqref="I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2024-11-03T19:16:18Z</dcterms:created>
  <dcterms:modified xsi:type="dcterms:W3CDTF">2024-11-05T07:29:22Z</dcterms:modified>
</cp:coreProperties>
</file>